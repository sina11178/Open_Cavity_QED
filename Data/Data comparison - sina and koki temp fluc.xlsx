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eb45fc6e4a9cc1/Desktop/Grad school stuff/Research_Notes/Kolodrubetz Group/Cavity QED/Open_Cavity_QED/Data/"/>
    </mc:Choice>
  </mc:AlternateContent>
  <xr:revisionPtr revIDLastSave="246" documentId="11_F25DC773A252ABDACC1048D0F11E53185ADE58EF" xr6:coauthVersionLast="47" xr6:coauthVersionMax="47" xr10:uidLastSave="{E8B40934-4254-449A-A7B5-971182D15D4D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16" i="1"/>
  <c r="M17" i="1"/>
  <c r="M18" i="1"/>
  <c r="M19" i="1"/>
  <c r="M20" i="1"/>
  <c r="M14" i="1"/>
  <c r="L15" i="1"/>
  <c r="L16" i="1"/>
  <c r="L17" i="1"/>
  <c r="L18" i="1"/>
  <c r="L19" i="1"/>
  <c r="L20" i="1"/>
  <c r="L21" i="1"/>
  <c r="L14" i="1"/>
  <c r="K15" i="1"/>
  <c r="K16" i="1"/>
  <c r="K17" i="1"/>
  <c r="K18" i="1"/>
  <c r="K19" i="1"/>
  <c r="K20" i="1"/>
  <c r="K21" i="1"/>
  <c r="K14" i="1"/>
  <c r="J15" i="1"/>
  <c r="J16" i="1"/>
  <c r="J17" i="1"/>
  <c r="J18" i="1"/>
  <c r="J19" i="1"/>
  <c r="J20" i="1"/>
  <c r="J21" i="1"/>
  <c r="J14" i="1"/>
  <c r="H21" i="1"/>
  <c r="H20" i="1"/>
  <c r="H19" i="1"/>
  <c r="H18" i="1"/>
  <c r="H17" i="1"/>
  <c r="H16" i="1"/>
  <c r="H15" i="1"/>
  <c r="H14" i="1"/>
  <c r="I15" i="1"/>
  <c r="I16" i="1"/>
  <c r="I17" i="1"/>
  <c r="I18" i="1"/>
  <c r="I19" i="1"/>
  <c r="I20" i="1"/>
  <c r="I21" i="1"/>
  <c r="I14" i="1"/>
  <c r="A57" i="1"/>
  <c r="A56" i="1"/>
  <c r="A55" i="1"/>
  <c r="A54" i="1"/>
  <c r="A53" i="1"/>
  <c r="A52" i="1"/>
  <c r="A51" i="1"/>
  <c r="A50" i="1"/>
  <c r="A40" i="1"/>
  <c r="A39" i="1"/>
  <c r="A38" i="1"/>
  <c r="A37" i="1"/>
  <c r="A36" i="1"/>
  <c r="A35" i="1"/>
  <c r="A34" i="1"/>
  <c r="A33" i="1"/>
  <c r="A20" i="1"/>
  <c r="A19" i="1"/>
  <c r="A18" i="1"/>
  <c r="A17" i="1"/>
  <c r="A16" i="1"/>
  <c r="A15" i="1"/>
  <c r="A14" i="1"/>
  <c r="A13" i="1"/>
</calcChain>
</file>

<file path=xl/sharedStrings.xml><?xml version="1.0" encoding="utf-8"?>
<sst xmlns="http://schemas.openxmlformats.org/spreadsheetml/2006/main" count="38" uniqueCount="16">
  <si>
    <t>Gamma</t>
  </si>
  <si>
    <t>Trial 1</t>
  </si>
  <si>
    <t>Trial 2</t>
  </si>
  <si>
    <t>Trial 3</t>
  </si>
  <si>
    <t>Trial 4</t>
  </si>
  <si>
    <t>Trial 5</t>
  </si>
  <si>
    <t>L = 4</t>
  </si>
  <si>
    <t>SAEEDS RESULT</t>
  </si>
  <si>
    <t>SINAS RESULT</t>
  </si>
  <si>
    <t>DIFF</t>
  </si>
  <si>
    <t>GAMMA</t>
  </si>
  <si>
    <t>L=4</t>
  </si>
  <si>
    <t>L=2</t>
  </si>
  <si>
    <t>L=3</t>
  </si>
  <si>
    <t>L=5</t>
  </si>
  <si>
    <t>L=6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</si>
</sst>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Koki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Sheet1!$A$13:$A$20</c:f>
              <c:numCache>
                <c:formatCode>General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Sheet1!$B$13:$B$20</c:f>
              <c:numCache>
                <c:formatCode>General</c:formatCode>
                <c:ptCount val="8"/>
                <c:pt idx="0">
                  <c:v>2.90979636111337E-2</c:v>
                </c:pt>
                <c:pt idx="1">
                  <c:v>3.1555661880531501E-2</c:v>
                </c:pt>
                <c:pt idx="2">
                  <c:v>3.4487158869279E-2</c:v>
                </c:pt>
                <c:pt idx="3">
                  <c:v>2.5624790223345999E-2</c:v>
                </c:pt>
                <c:pt idx="4">
                  <c:v>1.5838918338660399E-2</c:v>
                </c:pt>
                <c:pt idx="5">
                  <c:v>6.28133192997655E-3</c:v>
                </c:pt>
                <c:pt idx="6">
                  <c:v>2.5284881371044E-2</c:v>
                </c:pt>
                <c:pt idx="7">
                  <c:v>3.1479567510762599E-2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95-4F1A-9708-F787D9AC97BE}"/>
            </c:ext>
          </c:extLst>
        </c:ser>
        <c:ser>
          <c:idx val="1"/>
          <c:order val="1"/>
          <c:tx>
            <c:v>Sina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Sheet1!$A$33:$A$40</c:f>
              <c:numCache>
                <c:formatCode>General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Sheet1!$B$33:$B$40</c:f>
              <c:numCache>
                <c:formatCode>General</c:formatCode>
                <c:ptCount val="8"/>
                <c:pt idx="0">
                  <c:v>2.9097963599166402E-2</c:v>
                </c:pt>
                <c:pt idx="1">
                  <c:v>3.1555661884439902E-2</c:v>
                </c:pt>
                <c:pt idx="2">
                  <c:v>3.4487158853695202E-2</c:v>
                </c:pt>
                <c:pt idx="3">
                  <c:v>2.56247902149477E-2</c:v>
                </c:pt>
                <c:pt idx="4">
                  <c:v>1.5838918375343201E-2</c:v>
                </c:pt>
                <c:pt idx="5">
                  <c:v>6.2813319477318099E-3</c:v>
                </c:pt>
                <c:pt idx="6">
                  <c:v>2.5284881362898699E-2</c:v>
                </c:pt>
                <c:pt idx="7">
                  <c:v>3.1479567527086499E-2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95-4F1A-9708-F787D9AC9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59232"/>
        <c:axId val="649667392"/>
      </c:scatterChart>
      <c:valAx>
        <c:axId val="64965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67392"/>
        <c:crosses val="autoZero"/>
        <c:crossBetween val="midCat"/>
      </c:valAx>
      <c:valAx>
        <c:axId val="6496673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Fluctuation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59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</xdr:colOff>
      <xdr:row>28</xdr:row>
      <xdr:rowOff>90487</xdr:rowOff>
    </xdr:from>
    <xdr:to>
      <xdr:col>12</xdr:col>
      <xdr:colOff>871537</xdr:colOff>
      <xdr:row>45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3B31B-CE3F-D54E-D565-082DD2CC8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7" workbookViewId="0">
      <selection activeCell="O19" sqref="O19"/>
    </sheetView>
  </sheetViews>
  <sheetFormatPr defaultRowHeight="14.25" x14ac:dyDescent="0.45"/>
  <cols>
    <col min="1" max="1" width="14.9296875" customWidth="1"/>
    <col min="2" max="2" width="14.6640625" customWidth="1"/>
    <col min="3" max="3" width="16.59765625" customWidth="1"/>
    <col min="4" max="4" width="16.6640625" customWidth="1"/>
    <col min="5" max="5" width="16.3984375" customWidth="1"/>
    <col min="6" max="6" width="16.06640625" customWidth="1"/>
    <col min="7" max="7" width="17.86328125" customWidth="1"/>
    <col min="8" max="8" width="14.86328125" customWidth="1"/>
    <col min="9" max="9" width="21.6640625" customWidth="1"/>
    <col min="10" max="10" width="14.265625" customWidth="1"/>
    <col min="11" max="11" width="13.19921875" customWidth="1"/>
    <col min="12" max="12" width="13.3984375" customWidth="1"/>
    <col min="13" max="13" width="14.06640625" customWidth="1"/>
  </cols>
  <sheetData>
    <row r="1" spans="1:13" x14ac:dyDescent="0.45">
      <c r="A1" s="1"/>
      <c r="B1" s="1"/>
      <c r="C1" s="1"/>
      <c r="D1" s="1"/>
      <c r="E1" s="1"/>
      <c r="F1" s="1"/>
      <c r="G1" s="1"/>
    </row>
    <row r="2" spans="1:13" x14ac:dyDescent="0.45">
      <c r="A2" s="1"/>
      <c r="B2" s="1"/>
      <c r="C2" s="1"/>
      <c r="D2" s="1"/>
      <c r="E2" s="1"/>
      <c r="F2" s="1"/>
      <c r="G2" s="1"/>
    </row>
    <row r="7" spans="1:13" x14ac:dyDescent="0.45">
      <c r="A7" s="1" t="s">
        <v>7</v>
      </c>
    </row>
    <row r="11" spans="1:13" x14ac:dyDescent="0.45">
      <c r="A11" s="1"/>
      <c r="B11" s="1" t="s">
        <v>6</v>
      </c>
      <c r="C11" s="1" t="s">
        <v>12</v>
      </c>
      <c r="D11" s="1" t="s">
        <v>13</v>
      </c>
      <c r="E11" s="1" t="s">
        <v>14</v>
      </c>
      <c r="F11" s="1" t="s">
        <v>15</v>
      </c>
      <c r="G11" s="1"/>
    </row>
    <row r="12" spans="1:13" x14ac:dyDescent="0.4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/>
      <c r="I12" s="1" t="s">
        <v>11</v>
      </c>
      <c r="J12" s="1" t="s">
        <v>12</v>
      </c>
      <c r="K12" s="1" t="s">
        <v>13</v>
      </c>
      <c r="L12" s="1" t="s">
        <v>14</v>
      </c>
      <c r="M12" s="1" t="s">
        <v>15</v>
      </c>
    </row>
    <row r="13" spans="1:13" x14ac:dyDescent="0.45">
      <c r="A13">
        <f xml:space="preserve"> 0.05</f>
        <v>0.05</v>
      </c>
      <c r="B13">
        <v>2.90979636111337E-2</v>
      </c>
      <c r="C13">
        <v>2.51057225064686E-3</v>
      </c>
      <c r="D13">
        <v>1.2567772581545801E-2</v>
      </c>
      <c r="E13">
        <v>1.6447630981533502E-2</v>
      </c>
      <c r="F13">
        <v>1.6398435173385399E-2</v>
      </c>
      <c r="H13" s="1" t="s">
        <v>10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</row>
    <row r="14" spans="1:13" x14ac:dyDescent="0.45">
      <c r="A14">
        <f xml:space="preserve"> 0.1</f>
        <v>0.1</v>
      </c>
      <c r="B14">
        <v>3.1555661880531501E-2</v>
      </c>
      <c r="C14">
        <v>8.2735133609352198E-4</v>
      </c>
      <c r="D14">
        <v>2.6392570759020899E-2</v>
      </c>
      <c r="E14">
        <v>1.12302644565693E-2</v>
      </c>
      <c r="F14">
        <v>1.2381190042288199E-2</v>
      </c>
      <c r="H14">
        <f xml:space="preserve"> 0.05</f>
        <v>0.05</v>
      </c>
      <c r="I14">
        <f xml:space="preserve"> ABS(B13 - B33)</f>
        <v>1.1967298679804728E-11</v>
      </c>
      <c r="J14">
        <f xml:space="preserve"> ABS(C13 - C33)</f>
        <v>9.9998134772683045E-15</v>
      </c>
      <c r="K14">
        <f xml:space="preserve"> ABS(D13 - D33)</f>
        <v>9.2529994083490053E-12</v>
      </c>
      <c r="L14">
        <f xml:space="preserve"> ABS(E13 - E33)</f>
        <v>4.2369927011343123E-13</v>
      </c>
      <c r="M14">
        <f xml:space="preserve"> ABS(F13 - F33)</f>
        <v>4.3939851757102133E-13</v>
      </c>
    </row>
    <row r="15" spans="1:13" x14ac:dyDescent="0.45">
      <c r="A15">
        <f xml:space="preserve"> 0.15</f>
        <v>0.15</v>
      </c>
      <c r="B15">
        <v>3.4487158869279E-2</v>
      </c>
      <c r="C15">
        <v>1.6933327255363301E-4</v>
      </c>
      <c r="D15">
        <v>3.2309423159878302E-2</v>
      </c>
      <c r="E15">
        <v>1.1845860751985E-2</v>
      </c>
      <c r="F15">
        <v>1.18255357806773E-2</v>
      </c>
      <c r="H15">
        <f xml:space="preserve"> 0.1</f>
        <v>0.1</v>
      </c>
      <c r="I15">
        <f t="shared" ref="I15:I21" si="0" xml:space="preserve"> ABS(B14 - B34)</f>
        <v>3.9084013803147855E-12</v>
      </c>
      <c r="J15">
        <f t="shared" ref="J15:J21" si="1" xml:space="preserve"> ABS(C14 - C34)</f>
        <v>1.2915992060602566E-14</v>
      </c>
      <c r="K15">
        <f t="shared" ref="K15:K21" si="2" xml:space="preserve"> ABS(D14 - D34)</f>
        <v>1.866940005368356E-10</v>
      </c>
      <c r="L15">
        <f t="shared" ref="L15:L21" si="3" xml:space="preserve"> ABS(E14 - E34)</f>
        <v>1.8000011203778143E-13</v>
      </c>
      <c r="M15">
        <f t="shared" ref="M15:M20" si="4" xml:space="preserve"> ABS(F14 - F34)</f>
        <v>1.5610082670924896E-13</v>
      </c>
    </row>
    <row r="16" spans="1:13" x14ac:dyDescent="0.45">
      <c r="A16">
        <f xml:space="preserve"> 0.2</f>
        <v>0.2</v>
      </c>
      <c r="B16">
        <v>2.5624790223345999E-2</v>
      </c>
      <c r="C16">
        <v>1.6239360923749901E-4</v>
      </c>
      <c r="D16">
        <v>3.4425046882854103E-2</v>
      </c>
      <c r="E16">
        <v>1.25746951640233E-2</v>
      </c>
      <c r="F16">
        <v>9.72036699303668E-3</v>
      </c>
      <c r="H16">
        <f xml:space="preserve"> 0.15</f>
        <v>0.15</v>
      </c>
      <c r="I16">
        <f t="shared" si="0"/>
        <v>1.5583798140816896E-11</v>
      </c>
      <c r="J16">
        <f t="shared" si="1"/>
        <v>2.4119974680741896E-15</v>
      </c>
      <c r="K16">
        <f t="shared" si="2"/>
        <v>4.0002300083497033E-11</v>
      </c>
      <c r="L16">
        <f t="shared" si="3"/>
        <v>9.6279928474274357E-13</v>
      </c>
      <c r="M16">
        <f t="shared" si="4"/>
        <v>1.892999645924931E-13</v>
      </c>
    </row>
    <row r="17" spans="1:13" x14ac:dyDescent="0.45">
      <c r="A17">
        <f>0.25</f>
        <v>0.25</v>
      </c>
      <c r="B17">
        <v>1.5838918338660399E-2</v>
      </c>
      <c r="C17">
        <v>3.9427179566875898E-4</v>
      </c>
      <c r="D17">
        <v>3.5801641754156899E-2</v>
      </c>
      <c r="E17">
        <v>1.2281833854767299E-2</v>
      </c>
      <c r="F17">
        <v>1.0705116532467401E-2</v>
      </c>
      <c r="H17">
        <f xml:space="preserve"> 0.2</f>
        <v>0.2</v>
      </c>
      <c r="I17">
        <f t="shared" si="0"/>
        <v>8.3982994170117564E-12</v>
      </c>
      <c r="J17">
        <f t="shared" si="1"/>
        <v>2.3929968250013811E-15</v>
      </c>
      <c r="K17">
        <f t="shared" si="2"/>
        <v>2.4043961266428937E-12</v>
      </c>
      <c r="L17">
        <f t="shared" si="3"/>
        <v>6.5000088644850962E-14</v>
      </c>
      <c r="M17">
        <f t="shared" si="4"/>
        <v>4.0262931877421693E-13</v>
      </c>
    </row>
    <row r="18" spans="1:13" x14ac:dyDescent="0.45">
      <c r="A18">
        <f>0.3</f>
        <v>0.3</v>
      </c>
      <c r="B18">
        <v>6.28133192997655E-3</v>
      </c>
      <c r="C18">
        <v>5.4879260820587996E-4</v>
      </c>
      <c r="D18">
        <v>3.7557804466817502E-2</v>
      </c>
      <c r="E18">
        <v>1.5715152346980999E-2</v>
      </c>
      <c r="F18">
        <v>1.17997362880914E-2</v>
      </c>
      <c r="H18">
        <f>0.25</f>
        <v>0.25</v>
      </c>
      <c r="I18">
        <f t="shared" si="0"/>
        <v>3.6682802628806854E-11</v>
      </c>
      <c r="J18">
        <f t="shared" si="1"/>
        <v>9.4219879294421549E-15</v>
      </c>
      <c r="K18">
        <f t="shared" si="2"/>
        <v>2.6925198182148335E-11</v>
      </c>
      <c r="L18">
        <f t="shared" si="3"/>
        <v>2.0848999610079133E-12</v>
      </c>
      <c r="M18">
        <f t="shared" si="4"/>
        <v>1.660008935866486E-13</v>
      </c>
    </row>
    <row r="19" spans="1:13" x14ac:dyDescent="0.45">
      <c r="A19">
        <f>0.35</f>
        <v>0.35</v>
      </c>
      <c r="B19">
        <v>2.5284881371044E-2</v>
      </c>
      <c r="C19">
        <v>6.2491126623711896E-4</v>
      </c>
      <c r="D19">
        <v>3.6542870594352302E-2</v>
      </c>
      <c r="E19">
        <v>1.34393957252525E-2</v>
      </c>
      <c r="F19">
        <v>5.9316433842746003E-3</v>
      </c>
      <c r="H19">
        <f>0.3</f>
        <v>0.3</v>
      </c>
      <c r="I19">
        <f t="shared" si="0"/>
        <v>1.7755259935914314E-11</v>
      </c>
      <c r="J19">
        <f t="shared" si="1"/>
        <v>2.6860024621155887E-15</v>
      </c>
      <c r="K19">
        <f t="shared" si="2"/>
        <v>2.5597995945148E-12</v>
      </c>
      <c r="L19">
        <f t="shared" si="3"/>
        <v>3.6089881083611886E-13</v>
      </c>
      <c r="M19">
        <f t="shared" si="4"/>
        <v>5.7470000980330838E-13</v>
      </c>
    </row>
    <row r="20" spans="1:13" x14ac:dyDescent="0.45">
      <c r="A20">
        <f>0.4</f>
        <v>0.4</v>
      </c>
      <c r="B20">
        <v>3.1479567510762599E-2</v>
      </c>
      <c r="C20">
        <v>6.2052909670195502E-4</v>
      </c>
      <c r="D20">
        <v>8.3217728922616294E-2</v>
      </c>
      <c r="E20">
        <v>9.9163693602894801E-3</v>
      </c>
      <c r="H20">
        <f>0.35</f>
        <v>0.35</v>
      </c>
      <c r="I20">
        <f t="shared" si="0"/>
        <v>8.145300406381395E-12</v>
      </c>
      <c r="J20">
        <f t="shared" si="1"/>
        <v>2.4405390902648705E-16</v>
      </c>
      <c r="K20">
        <f t="shared" si="2"/>
        <v>3.3316099878888394E-11</v>
      </c>
      <c r="L20">
        <f t="shared" si="3"/>
        <v>1.0294994023940518E-12</v>
      </c>
      <c r="M20">
        <f t="shared" si="4"/>
        <v>2.8521976447315467E-13</v>
      </c>
    </row>
    <row r="21" spans="1:13" x14ac:dyDescent="0.45">
      <c r="H21">
        <f>0.4</f>
        <v>0.4</v>
      </c>
      <c r="I21">
        <f t="shared" si="0"/>
        <v>1.6323900564607641E-11</v>
      </c>
      <c r="J21">
        <f t="shared" si="1"/>
        <v>7.6500221088404707E-15</v>
      </c>
      <c r="K21">
        <f t="shared" si="2"/>
        <v>9.2270913132352916E-12</v>
      </c>
      <c r="L21">
        <f t="shared" si="3"/>
        <v>3.5172698087393428E-12</v>
      </c>
    </row>
    <row r="23" spans="1:13" x14ac:dyDescent="0.45">
      <c r="A23" s="1"/>
      <c r="B23" s="1"/>
    </row>
    <row r="24" spans="1:13" x14ac:dyDescent="0.45">
      <c r="A24" s="1"/>
      <c r="B24" s="1"/>
    </row>
    <row r="27" spans="1:13" x14ac:dyDescent="0.45">
      <c r="A27" s="1" t="s">
        <v>8</v>
      </c>
    </row>
    <row r="31" spans="1:13" x14ac:dyDescent="0.45">
      <c r="A31" s="1"/>
      <c r="B31" s="1" t="s">
        <v>6</v>
      </c>
      <c r="C31" s="1" t="s">
        <v>12</v>
      </c>
      <c r="D31" s="1" t="s">
        <v>13</v>
      </c>
      <c r="E31" s="1" t="s">
        <v>14</v>
      </c>
      <c r="F31" s="1" t="s">
        <v>15</v>
      </c>
    </row>
    <row r="32" spans="1:13" x14ac:dyDescent="0.4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</row>
    <row r="33" spans="1:6" x14ac:dyDescent="0.45">
      <c r="A33">
        <f xml:space="preserve"> 0.05</f>
        <v>0.05</v>
      </c>
      <c r="B33">
        <v>2.9097963599166402E-2</v>
      </c>
      <c r="C33">
        <v>2.5105722506568598E-3</v>
      </c>
      <c r="D33">
        <v>1.25677725907988E-2</v>
      </c>
      <c r="E33">
        <v>1.6447630981957201E-2</v>
      </c>
      <c r="F33">
        <v>1.6398435172946001E-2</v>
      </c>
    </row>
    <row r="34" spans="1:6" x14ac:dyDescent="0.45">
      <c r="A34">
        <f xml:space="preserve"> 0.1</f>
        <v>0.1</v>
      </c>
      <c r="B34">
        <v>3.1555661884439902E-2</v>
      </c>
      <c r="C34">
        <v>8.2735133608060599E-4</v>
      </c>
      <c r="D34">
        <v>2.6392570572326898E-2</v>
      </c>
      <c r="E34">
        <v>1.12302644563893E-2</v>
      </c>
      <c r="F34">
        <v>1.23811900424443E-2</v>
      </c>
    </row>
    <row r="35" spans="1:6" x14ac:dyDescent="0.45">
      <c r="A35">
        <f xml:space="preserve"> 0.15</f>
        <v>0.15</v>
      </c>
      <c r="B35">
        <v>3.4487158853695202E-2</v>
      </c>
      <c r="C35">
        <v>1.6933327255122101E-4</v>
      </c>
      <c r="D35">
        <v>3.2309423119876002E-2</v>
      </c>
      <c r="E35">
        <v>1.1845860751022201E-2</v>
      </c>
      <c r="F35">
        <v>1.18255357808666E-2</v>
      </c>
    </row>
    <row r="36" spans="1:6" x14ac:dyDescent="0.45">
      <c r="A36">
        <f xml:space="preserve"> 0.2</f>
        <v>0.2</v>
      </c>
      <c r="B36">
        <v>2.56247902149477E-2</v>
      </c>
      <c r="C36">
        <v>1.6239360923510601E-4</v>
      </c>
      <c r="D36">
        <v>3.4425046885258499E-2</v>
      </c>
      <c r="E36">
        <v>1.25746951639583E-2</v>
      </c>
      <c r="F36">
        <v>9.7203669934393094E-3</v>
      </c>
    </row>
    <row r="37" spans="1:6" x14ac:dyDescent="0.45">
      <c r="A37">
        <f>0.25</f>
        <v>0.25</v>
      </c>
      <c r="B37">
        <v>1.5838918375343201E-2</v>
      </c>
      <c r="C37">
        <v>3.9427179565933699E-4</v>
      </c>
      <c r="D37">
        <v>3.5801641781082097E-2</v>
      </c>
      <c r="E37">
        <v>1.2281833852682399E-2</v>
      </c>
      <c r="F37">
        <v>1.07051165323014E-2</v>
      </c>
    </row>
    <row r="38" spans="1:6" x14ac:dyDescent="0.45">
      <c r="A38">
        <f>0.3</f>
        <v>0.3</v>
      </c>
      <c r="B38">
        <v>6.2813319477318099E-3</v>
      </c>
      <c r="C38">
        <v>5.4879260820319396E-4</v>
      </c>
      <c r="D38">
        <v>3.7557804469377301E-2</v>
      </c>
      <c r="E38">
        <v>1.57151523466201E-2</v>
      </c>
      <c r="F38">
        <v>1.17997362886661E-2</v>
      </c>
    </row>
    <row r="39" spans="1:6" x14ac:dyDescent="0.45">
      <c r="A39">
        <f>0.35</f>
        <v>0.35</v>
      </c>
      <c r="B39">
        <v>2.5284881362898699E-2</v>
      </c>
      <c r="C39">
        <v>6.2491126623736301E-4</v>
      </c>
      <c r="D39">
        <v>3.6542870561036202E-2</v>
      </c>
      <c r="E39">
        <v>1.3439395726282E-2</v>
      </c>
      <c r="F39">
        <v>5.9316433845598201E-3</v>
      </c>
    </row>
    <row r="40" spans="1:6" x14ac:dyDescent="0.45">
      <c r="A40">
        <f>0.4</f>
        <v>0.4</v>
      </c>
      <c r="B40">
        <v>3.1479567527086499E-2</v>
      </c>
      <c r="C40">
        <v>6.2052909670960504E-4</v>
      </c>
      <c r="D40">
        <v>8.3217728913389202E-2</v>
      </c>
      <c r="E40">
        <v>9.9163693638067499E-3</v>
      </c>
    </row>
    <row r="48" spans="1:6" x14ac:dyDescent="0.45">
      <c r="A48" s="1" t="s">
        <v>6</v>
      </c>
      <c r="B48" s="1"/>
    </row>
    <row r="49" spans="1:2" x14ac:dyDescent="0.45">
      <c r="A49" s="1" t="s">
        <v>0</v>
      </c>
      <c r="B49" s="1" t="s">
        <v>1</v>
      </c>
    </row>
    <row r="50" spans="1:2" x14ac:dyDescent="0.45">
      <c r="A50">
        <f xml:space="preserve"> 0.05</f>
        <v>0.05</v>
      </c>
      <c r="B50">
        <v>2.3300000000000001E-2</v>
      </c>
    </row>
    <row r="51" spans="1:2" x14ac:dyDescent="0.45">
      <c r="A51">
        <f xml:space="preserve"> 0.1</f>
        <v>0.1</v>
      </c>
      <c r="B51">
        <v>1.4800000000000001E-2</v>
      </c>
    </row>
    <row r="52" spans="1:2" x14ac:dyDescent="0.45">
      <c r="A52">
        <f xml:space="preserve"> 0.15</f>
        <v>0.15</v>
      </c>
      <c r="B52">
        <v>1.17E-2</v>
      </c>
    </row>
    <row r="53" spans="1:2" x14ac:dyDescent="0.45">
      <c r="A53">
        <f xml:space="preserve"> 0.2</f>
        <v>0.2</v>
      </c>
      <c r="B53">
        <v>1.0800000000000001E-2</v>
      </c>
    </row>
    <row r="54" spans="1:2" x14ac:dyDescent="0.45">
      <c r="A54">
        <f>0.25</f>
        <v>0.25</v>
      </c>
      <c r="B54">
        <v>8.8400000000000006E-3</v>
      </c>
    </row>
    <row r="55" spans="1:2" x14ac:dyDescent="0.45">
      <c r="A55">
        <f>0.3</f>
        <v>0.3</v>
      </c>
      <c r="B55">
        <v>4.96E-3</v>
      </c>
    </row>
    <row r="56" spans="1:2" x14ac:dyDescent="0.45">
      <c r="A56">
        <f>0.35</f>
        <v>0.35</v>
      </c>
      <c r="B56">
        <v>6.6E-3</v>
      </c>
    </row>
    <row r="57" spans="1:2" x14ac:dyDescent="0.45">
      <c r="A57">
        <f>0.4</f>
        <v>0.4</v>
      </c>
      <c r="B57">
        <v>4.0000000000000001E-3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Rezvani</dc:creator>
  <cp:lastModifiedBy>Sina Rezvani</cp:lastModifiedBy>
  <dcterms:created xsi:type="dcterms:W3CDTF">2015-06-05T18:17:20Z</dcterms:created>
  <dcterms:modified xsi:type="dcterms:W3CDTF">2026-03-24T14:36:20Z</dcterms:modified>
</cp:coreProperties>
</file>